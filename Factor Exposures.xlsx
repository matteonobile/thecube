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hlugfilp02cn.efgz.efg.corp\CHLUG-Users\nobm\Downloads\"/>
    </mc:Choice>
  </mc:AlternateContent>
  <xr:revisionPtr revIDLastSave="0" documentId="8_{0A0D84E1-667C-4EEC-A0F8-C183883A3303}" xr6:coauthVersionLast="47" xr6:coauthVersionMax="47" xr10:uidLastSave="{00000000-0000-0000-0000-000000000000}"/>
  <bookViews>
    <workbookView xWindow="28680" yWindow="-120" windowWidth="29040" windowHeight="15840" xr2:uid="{72353D75-D9E7-40B3-BD38-1CFB4DDBD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D20" i="1"/>
  <c r="D19" i="1"/>
  <c r="B20" i="1"/>
  <c r="B19" i="1"/>
  <c r="H12" i="1"/>
  <c r="D12" i="1"/>
  <c r="B12" i="1"/>
  <c r="H11" i="1"/>
  <c r="D11" i="1"/>
  <c r="B11" i="1"/>
  <c r="H10" i="1"/>
  <c r="H9" i="1"/>
  <c r="H8" i="1"/>
  <c r="D10" i="1"/>
  <c r="D9" i="1"/>
  <c r="D8" i="1"/>
  <c r="B10" i="1"/>
  <c r="B9" i="1"/>
  <c r="B8" i="1"/>
</calcChain>
</file>

<file path=xl/sharedStrings.xml><?xml version="1.0" encoding="utf-8"?>
<sst xmlns="http://schemas.openxmlformats.org/spreadsheetml/2006/main" count="34" uniqueCount="18">
  <si>
    <t>Factor Exposure</t>
  </si>
  <si>
    <t>Growth</t>
  </si>
  <si>
    <t>Valuation</t>
  </si>
  <si>
    <t>Benchmark Idx</t>
  </si>
  <si>
    <t>Growth Idx</t>
  </si>
  <si>
    <t>Variability</t>
  </si>
  <si>
    <t>Leverage</t>
  </si>
  <si>
    <t>EarningYield</t>
  </si>
  <si>
    <t>Size</t>
  </si>
  <si>
    <t>Profit</t>
  </si>
  <si>
    <t>GEC</t>
  </si>
  <si>
    <t>Quality</t>
  </si>
  <si>
    <t>Small Idx</t>
  </si>
  <si>
    <t>Quality (etf)</t>
  </si>
  <si>
    <t>Global</t>
  </si>
  <si>
    <t>Securities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</si>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</sst>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0" fontId="2" fillId="2" borderId="0" xfId="0" applyNumberFormat="1" applyFont="1" applyFill="1" applyAlignment="1">
      <alignment horizontal="right"/>
    </xf>
    <xf numFmtId="0" fontId="2" fillId="3" borderId="0" xfId="0" applyNumberFormat="1" applyFont="1" applyFill="1" applyAlignment="1">
      <alignment horizontal="right"/>
    </xf>
    <xf numFmtId="2" fontId="3" fillId="0" borderId="0" xfId="0" applyNumberFormat="1" applyFont="1"/>
    <xf numFmtId="0" fontId="3" fillId="0" borderId="0" xfId="0" applyFont="1"/>
    <xf numFmtId="0" fontId="3" fillId="0" borderId="0" xfId="0" applyNumberFormat="1" applyFont="1"/>
    <xf numFmtId="0" fontId="2" fillId="4" borderId="0" xfId="0" applyNumberFormat="1" applyFont="1" applyFill="1" applyAlignment="1">
      <alignment horizontal="right"/>
    </xf>
    <xf numFmtId="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NumberFormat="1" applyFont="1" applyFill="1" applyAlignment="1">
      <alignment horizontal="right"/>
    </xf>
    <xf numFmtId="0" fontId="4" fillId="3" borderId="0" xfId="0" applyNumberFormat="1" applyFont="1" applyFill="1" applyAlignment="1">
      <alignment horizontal="right"/>
    </xf>
    <xf numFmtId="0" fontId="4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3354-CAF5-4CA4-80A0-BF2FF89CABD1}">
  <dimension ref="A1:H20"/>
  <sheetViews>
    <sheetView tabSelected="1" workbookViewId="0">
      <selection activeCell="L21" sqref="L21"/>
    </sheetView>
  </sheetViews>
  <sheetFormatPr defaultRowHeight="14.25" x14ac:dyDescent="0.2"/>
  <cols>
    <col min="1" max="1" width="15.625" bestFit="1" customWidth="1"/>
    <col min="2" max="8" width="11.625" customWidth="1"/>
  </cols>
  <sheetData>
    <row r="1" spans="1:8" ht="15" x14ac:dyDescent="0.25">
      <c r="A1" s="2" t="s">
        <v>0</v>
      </c>
      <c r="B1" s="3" t="s">
        <v>1</v>
      </c>
      <c r="C1" s="3" t="s">
        <v>2</v>
      </c>
      <c r="D1" s="4" t="s">
        <v>5</v>
      </c>
      <c r="E1" s="4" t="s">
        <v>6</v>
      </c>
      <c r="F1" s="4" t="s">
        <v>7</v>
      </c>
      <c r="G1" s="4" t="s">
        <v>9</v>
      </c>
      <c r="H1" s="8" t="s">
        <v>8</v>
      </c>
    </row>
    <row r="2" spans="1:8" ht="15" x14ac:dyDescent="0.25">
      <c r="A2" s="2" t="s">
        <v>10</v>
      </c>
      <c r="B2" s="7">
        <v>0.23</v>
      </c>
      <c r="C2" s="7">
        <v>-0.28999999999999998</v>
      </c>
      <c r="D2" s="7">
        <v>0.11</v>
      </c>
      <c r="E2" s="7">
        <v>-0.08</v>
      </c>
      <c r="F2" s="7">
        <v>-0.15</v>
      </c>
      <c r="G2" s="7">
        <v>0.36</v>
      </c>
      <c r="H2" s="7">
        <v>0.51</v>
      </c>
    </row>
    <row r="3" spans="1:8" ht="15" x14ac:dyDescent="0.25">
      <c r="A3" s="2" t="s">
        <v>3</v>
      </c>
      <c r="B3" s="7">
        <v>0.01</v>
      </c>
      <c r="C3" s="7">
        <v>-0.06</v>
      </c>
      <c r="D3" s="7">
        <v>-0.05</v>
      </c>
      <c r="E3" s="7">
        <v>-0.02</v>
      </c>
      <c r="F3" s="7">
        <v>0.01</v>
      </c>
      <c r="G3" s="7">
        <v>0.11</v>
      </c>
      <c r="H3" s="7">
        <v>0.31</v>
      </c>
    </row>
    <row r="4" spans="1:8" ht="15" x14ac:dyDescent="0.25">
      <c r="A4" s="2" t="s">
        <v>4</v>
      </c>
      <c r="B4" s="7">
        <v>0.55000000000000004</v>
      </c>
      <c r="C4" s="7">
        <v>-0.43</v>
      </c>
      <c r="D4" s="7">
        <v>0.43</v>
      </c>
      <c r="E4" s="7">
        <v>-0.32</v>
      </c>
      <c r="F4" s="7">
        <v>-0.34</v>
      </c>
      <c r="G4" s="7">
        <v>0.41</v>
      </c>
      <c r="H4" s="7">
        <v>0.47</v>
      </c>
    </row>
    <row r="5" spans="1:8" ht="15" x14ac:dyDescent="0.25">
      <c r="A5" s="2" t="s">
        <v>12</v>
      </c>
      <c r="B5" s="7">
        <v>-0.28000000000000003</v>
      </c>
      <c r="C5" s="7">
        <v>0.42</v>
      </c>
      <c r="D5" s="7">
        <v>-0.14000000000000001</v>
      </c>
      <c r="E5" s="7">
        <v>0.21</v>
      </c>
      <c r="F5" s="7">
        <v>0.15</v>
      </c>
      <c r="G5" s="7">
        <v>-0.56999999999999995</v>
      </c>
      <c r="H5" s="7">
        <v>-1.46</v>
      </c>
    </row>
    <row r="6" spans="1:8" ht="15" x14ac:dyDescent="0.25">
      <c r="A6" s="2" t="s">
        <v>13</v>
      </c>
      <c r="B6" s="7">
        <v>0.23</v>
      </c>
      <c r="C6" s="7">
        <v>-0.37</v>
      </c>
      <c r="D6" s="7">
        <v>0.28000000000000003</v>
      </c>
      <c r="E6" s="7">
        <v>-0.38</v>
      </c>
      <c r="F6" s="7">
        <v>-0.11</v>
      </c>
      <c r="G6" s="7">
        <v>0.82</v>
      </c>
      <c r="H6" s="7">
        <v>0.46</v>
      </c>
    </row>
    <row r="7" spans="1:8" ht="15" x14ac:dyDescent="0.25">
      <c r="B7" s="9" t="s">
        <v>1</v>
      </c>
      <c r="C7" s="10"/>
      <c r="D7" s="9" t="s">
        <v>11</v>
      </c>
      <c r="E7" s="10"/>
      <c r="F7" s="10"/>
      <c r="G7" s="10"/>
      <c r="H7" s="9" t="s">
        <v>8</v>
      </c>
    </row>
    <row r="8" spans="1:8" ht="15" x14ac:dyDescent="0.25">
      <c r="A8" s="2" t="s">
        <v>10</v>
      </c>
      <c r="B8" s="5">
        <f>(B2-C2)/2</f>
        <v>0.26</v>
      </c>
      <c r="C8" s="6"/>
      <c r="D8" s="5">
        <f>(D2-E2-F2+G2)/4</f>
        <v>0.17499999999999999</v>
      </c>
      <c r="E8" s="7"/>
      <c r="F8" s="6"/>
      <c r="G8" s="6"/>
      <c r="H8" s="7">
        <f>H2</f>
        <v>0.51</v>
      </c>
    </row>
    <row r="9" spans="1:8" ht="15" x14ac:dyDescent="0.25">
      <c r="A9" s="2" t="s">
        <v>14</v>
      </c>
      <c r="B9" s="5">
        <f>(B3-C3)/2</f>
        <v>3.4999999999999996E-2</v>
      </c>
      <c r="C9" s="6"/>
      <c r="D9" s="5">
        <f>(D3-E3-F3+G3)/4</f>
        <v>1.7500000000000002E-2</v>
      </c>
      <c r="E9" s="6"/>
      <c r="F9" s="6"/>
      <c r="G9" s="6"/>
      <c r="H9" s="7">
        <f>H3</f>
        <v>0.31</v>
      </c>
    </row>
    <row r="10" spans="1:8" ht="15" x14ac:dyDescent="0.25">
      <c r="A10" s="2" t="s">
        <v>4</v>
      </c>
      <c r="B10" s="5">
        <f>(B4-C4)/2</f>
        <v>0.49</v>
      </c>
      <c r="C10" s="6"/>
      <c r="D10" s="5">
        <f>(D4-E4-F4+G4)/4</f>
        <v>0.375</v>
      </c>
      <c r="E10" s="6"/>
      <c r="F10" s="6"/>
      <c r="G10" s="6"/>
      <c r="H10" s="7">
        <f>H4</f>
        <v>0.47</v>
      </c>
    </row>
    <row r="11" spans="1:8" ht="15" x14ac:dyDescent="0.25">
      <c r="A11" s="2" t="s">
        <v>12</v>
      </c>
      <c r="B11" s="5">
        <f>(B5-C5)/2</f>
        <v>-0.35</v>
      </c>
      <c r="C11" s="6"/>
      <c r="D11" s="5">
        <f>(D5-E5-F5+G5)/4</f>
        <v>-0.26749999999999996</v>
      </c>
      <c r="E11" s="6"/>
      <c r="F11" s="6"/>
      <c r="G11" s="6"/>
      <c r="H11" s="7">
        <f>H5</f>
        <v>-1.46</v>
      </c>
    </row>
    <row r="12" spans="1:8" ht="15" x14ac:dyDescent="0.25">
      <c r="A12" s="2" t="s">
        <v>13</v>
      </c>
      <c r="B12" s="5">
        <f>(B6-C6)/2</f>
        <v>0.3</v>
      </c>
      <c r="C12" s="6"/>
      <c r="D12" s="5">
        <f>(D6-E6-F6+G6)/4</f>
        <v>0.39749999999999996</v>
      </c>
      <c r="E12" s="6"/>
      <c r="F12" s="6"/>
      <c r="G12" s="6"/>
      <c r="H12" s="7">
        <f>H6</f>
        <v>0.46</v>
      </c>
    </row>
    <row r="13" spans="1:8" x14ac:dyDescent="0.2">
      <c r="B13" s="6"/>
      <c r="C13" s="6"/>
      <c r="D13" s="6"/>
      <c r="E13" s="6"/>
      <c r="F13" s="6"/>
      <c r="G13" s="6"/>
      <c r="H13" s="6"/>
    </row>
    <row r="14" spans="1:8" x14ac:dyDescent="0.2">
      <c r="B14" s="6"/>
      <c r="C14" s="6"/>
      <c r="D14" s="6"/>
      <c r="E14" s="6"/>
      <c r="F14" s="6"/>
      <c r="G14" s="6"/>
      <c r="H14" s="6"/>
    </row>
    <row r="15" spans="1:8" ht="15" x14ac:dyDescent="0.25">
      <c r="A15" s="2" t="s">
        <v>15</v>
      </c>
      <c r="B15" s="11" t="s">
        <v>1</v>
      </c>
      <c r="C15" s="11" t="s">
        <v>2</v>
      </c>
      <c r="D15" s="12" t="s">
        <v>5</v>
      </c>
      <c r="E15" s="12" t="s">
        <v>6</v>
      </c>
      <c r="F15" s="12" t="s">
        <v>7</v>
      </c>
      <c r="G15" s="12" t="s">
        <v>9</v>
      </c>
      <c r="H15" s="13" t="s">
        <v>8</v>
      </c>
    </row>
    <row r="16" spans="1:8" x14ac:dyDescent="0.2">
      <c r="A16" s="1" t="s">
        <v>16</v>
      </c>
      <c r="B16" s="7">
        <v>3.22</v>
      </c>
      <c r="C16" s="7">
        <v>-1.85</v>
      </c>
      <c r="D16" s="7">
        <v>3.36</v>
      </c>
      <c r="E16" s="7">
        <v>-1.8</v>
      </c>
      <c r="F16" s="7">
        <v>-3.19</v>
      </c>
      <c r="G16" s="7">
        <v>2.72</v>
      </c>
      <c r="H16" s="7">
        <v>1.66</v>
      </c>
    </row>
    <row r="17" spans="1:8" x14ac:dyDescent="0.2">
      <c r="A17" s="1" t="s">
        <v>17</v>
      </c>
      <c r="B17" s="7">
        <v>-3.63</v>
      </c>
      <c r="C17" s="7">
        <v>3.76</v>
      </c>
      <c r="D17" s="7">
        <v>-2.1800000000000002</v>
      </c>
      <c r="E17" s="7">
        <v>2.81</v>
      </c>
      <c r="F17" s="7">
        <v>2.9</v>
      </c>
      <c r="G17" s="7">
        <v>-3.38</v>
      </c>
      <c r="H17" s="7">
        <v>-3.19</v>
      </c>
    </row>
    <row r="18" spans="1:8" ht="15" x14ac:dyDescent="0.25">
      <c r="B18" s="9" t="s">
        <v>1</v>
      </c>
      <c r="C18" s="10"/>
      <c r="D18" s="9" t="s">
        <v>11</v>
      </c>
      <c r="E18" s="10"/>
      <c r="F18" s="10"/>
      <c r="G18" s="10"/>
      <c r="H18" s="9" t="s">
        <v>8</v>
      </c>
    </row>
    <row r="19" spans="1:8" x14ac:dyDescent="0.2">
      <c r="B19" s="5">
        <f>(B16-C16)/2</f>
        <v>2.5350000000000001</v>
      </c>
      <c r="C19" s="6"/>
      <c r="D19" s="5">
        <f>(D16-E16-F16+G16)/4</f>
        <v>2.7675000000000001</v>
      </c>
      <c r="E19" s="6"/>
      <c r="F19" s="6"/>
      <c r="G19" s="6"/>
      <c r="H19" s="7">
        <f>H16</f>
        <v>1.66</v>
      </c>
    </row>
    <row r="20" spans="1:8" x14ac:dyDescent="0.2">
      <c r="B20" s="5">
        <f>(B17-C17)/2</f>
        <v>-3.6949999999999998</v>
      </c>
      <c r="C20" s="6"/>
      <c r="D20" s="5">
        <f>(D17-E17-F17+G17)/4</f>
        <v>-2.8174999999999999</v>
      </c>
      <c r="E20" s="6"/>
      <c r="F20" s="6"/>
      <c r="G20" s="6"/>
      <c r="H20" s="7">
        <f>H17</f>
        <v>-3.19</v>
      </c>
    </row>
  </sheetData>
  <conditionalFormatting sqref="D8:D1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8:B1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8:H1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headerFooter>
    <oddFooter>&amp;C_x000D_&amp;1#&amp;"Calibri"&amp;10&amp;K000000 Classification: EFG Confidential</oddFooter>
  </headerFooter>
</worksheet>
</file>

<file path=docMetadata/LabelInfo.xml><?xml version="1.0" encoding="utf-8"?>
<clbl:labelList xmlns:clbl="http://schemas.microsoft.com/office/2020/mipLabelMetadata">
  <clbl:label id="{dc7290e4-c040-4dca-bb3e-8519c982a5bf}" enabled="1" method="Standard" siteId="{68ec88f8-6ac8-41ff-b68b-1432050782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NOBILE, Matteo</dc:creator>
  <cp:lastModifiedBy>NOBILE, Matteo</cp:lastModifiedBy>
  <dcterms:created xsi:type="dcterms:W3CDTF">2026-01-19T14:19:14Z</dcterms:created>
  <dcterms:modified xsi:type="dcterms:W3CDTF">2026-01-19T15:04:15Z</dcterms:modified>
</cp:coreProperties>
</file>